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w\Downloads\"/>
    </mc:Choice>
  </mc:AlternateContent>
  <xr:revisionPtr revIDLastSave="0" documentId="13_ncr:1_{795CFAEC-5AD7-46FE-9AB2-0DFA50D49526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Cover" sheetId="6" r:id="rId1"/>
    <sheet name="1. Assumptions" sheetId="1" r:id="rId2"/>
    <sheet name="2. Historical Financials" sheetId="2" r:id="rId3"/>
    <sheet name="3. Projections" sheetId="3" r:id="rId4"/>
    <sheet name="4. DCF Valuation" sheetId="4" r:id="rId5"/>
    <sheet name="5. Sensitivity Analysis" sheetId="5" r:id="rId6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2" l="1"/>
  <c r="C18" i="2"/>
  <c r="B18" i="2"/>
  <c r="D17" i="2"/>
  <c r="B17" i="2"/>
  <c r="B26" i="4"/>
  <c r="B23" i="4"/>
  <c r="B21" i="4"/>
  <c r="B4" i="4"/>
  <c r="B7" i="3"/>
  <c r="B4" i="3"/>
  <c r="C4" i="3" s="1"/>
  <c r="D25" i="2"/>
  <c r="C25" i="2"/>
  <c r="B20" i="2"/>
  <c r="B22" i="2" s="1"/>
  <c r="D6" i="2"/>
  <c r="D26" i="2" s="1"/>
  <c r="C6" i="2"/>
  <c r="C26" i="2" s="1"/>
  <c r="B6" i="2"/>
  <c r="B26" i="2" s="1"/>
  <c r="C23" i="1"/>
  <c r="C28" i="1" s="1"/>
  <c r="B3" i="4" s="1"/>
  <c r="E9" i="4" s="1"/>
  <c r="D20" i="2" l="1"/>
  <c r="D22" i="2" s="1"/>
  <c r="B8" i="2"/>
  <c r="D8" i="2"/>
  <c r="C8" i="2"/>
  <c r="C10" i="2" s="1"/>
  <c r="C12" i="2" s="1"/>
  <c r="C14" i="2" s="1"/>
  <c r="C5" i="3"/>
  <c r="C6" i="3" s="1"/>
  <c r="C7" i="3"/>
  <c r="C11" i="3" s="1"/>
  <c r="C13" i="3"/>
  <c r="D4" i="3"/>
  <c r="C12" i="3"/>
  <c r="C9" i="4"/>
  <c r="D9" i="4"/>
  <c r="F9" i="4"/>
  <c r="G9" i="4"/>
  <c r="C28" i="2" l="1"/>
  <c r="C17" i="2"/>
  <c r="C20" i="2" s="1"/>
  <c r="C22" i="2" s="1"/>
  <c r="B10" i="2"/>
  <c r="B12" i="2" s="1"/>
  <c r="B14" i="2" s="1"/>
  <c r="B28" i="2" s="1"/>
  <c r="B27" i="2"/>
  <c r="C27" i="2"/>
  <c r="D10" i="2"/>
  <c r="D27" i="2"/>
  <c r="B6" i="3" s="1"/>
  <c r="B5" i="3"/>
  <c r="D5" i="3"/>
  <c r="D6" i="3" s="1"/>
  <c r="D12" i="3"/>
  <c r="D13" i="3"/>
  <c r="E4" i="3"/>
  <c r="D7" i="3"/>
  <c r="D11" i="3" s="1"/>
  <c r="C8" i="3"/>
  <c r="D8" i="3" l="1"/>
  <c r="D9" i="3" s="1"/>
  <c r="D10" i="3" s="1"/>
  <c r="D14" i="3" s="1"/>
  <c r="D7" i="4" s="1"/>
  <c r="D10" i="4" s="1"/>
  <c r="D12" i="2"/>
  <c r="D14" i="2" s="1"/>
  <c r="D28" i="2" s="1"/>
  <c r="B8" i="3"/>
  <c r="C9" i="3"/>
  <c r="C10" i="3" s="1"/>
  <c r="C14" i="3" s="1"/>
  <c r="E12" i="3"/>
  <c r="E13" i="3"/>
  <c r="E7" i="3"/>
  <c r="E11" i="3" s="1"/>
  <c r="F4" i="3"/>
  <c r="E5" i="3"/>
  <c r="E6" i="3" s="1"/>
  <c r="E8" i="3" l="1"/>
  <c r="E9" i="3" s="1"/>
  <c r="E10" i="3" s="1"/>
  <c r="E14" i="3" s="1"/>
  <c r="C7" i="4"/>
  <c r="C10" i="4" s="1"/>
  <c r="F12" i="3"/>
  <c r="F7" i="3"/>
  <c r="F11" i="3" s="1"/>
  <c r="F5" i="3"/>
  <c r="F8" i="3" s="1"/>
  <c r="G4" i="3"/>
  <c r="F13" i="3"/>
  <c r="F6" i="3" l="1"/>
  <c r="E7" i="4"/>
  <c r="E10" i="4" s="1"/>
  <c r="G7" i="3"/>
  <c r="G11" i="3" s="1"/>
  <c r="G13" i="3"/>
  <c r="G5" i="3"/>
  <c r="G12" i="3"/>
  <c r="G6" i="3"/>
  <c r="F9" i="3"/>
  <c r="F10" i="3" s="1"/>
  <c r="F14" i="3" s="1"/>
  <c r="F7" i="4" l="1"/>
  <c r="F10" i="4" s="1"/>
  <c r="G8" i="3"/>
  <c r="G9" i="3" l="1"/>
  <c r="G10" i="3" s="1"/>
  <c r="G14" i="3" s="1"/>
  <c r="B13" i="4" l="1"/>
  <c r="B14" i="4" s="1"/>
  <c r="B15" i="4" s="1"/>
  <c r="B19" i="4" s="1"/>
  <c r="G7" i="4"/>
  <c r="G10" i="4" s="1"/>
  <c r="B18" i="4" s="1"/>
  <c r="E5" i="5"/>
  <c r="B7" i="5"/>
  <c r="D8" i="5"/>
  <c r="C4" i="5"/>
  <c r="D7" i="5"/>
  <c r="B5" i="5"/>
  <c r="D4" i="5"/>
  <c r="F8" i="5"/>
  <c r="C7" i="5"/>
  <c r="F4" i="5"/>
  <c r="C5" i="5"/>
  <c r="F7" i="5"/>
  <c r="E8" i="5"/>
  <c r="E4" i="5"/>
  <c r="C6" i="5"/>
  <c r="B6" i="5"/>
  <c r="F5" i="5"/>
  <c r="D5" i="5"/>
  <c r="B4" i="5"/>
  <c r="B8" i="5"/>
  <c r="E7" i="5"/>
  <c r="F6" i="5"/>
  <c r="D6" i="5"/>
  <c r="E6" i="5"/>
  <c r="C8" i="5"/>
  <c r="B20" i="4" l="1"/>
  <c r="B22" i="4" s="1"/>
  <c r="B24" i="4" s="1"/>
</calcChain>
</file>

<file path=xl/sharedStrings.xml><?xml version="1.0" encoding="utf-8"?>
<sst xmlns="http://schemas.openxmlformats.org/spreadsheetml/2006/main" count="118" uniqueCount="99">
  <si>
    <t>EMAAR PROPERTIES — DCF VALUATION MODEL</t>
  </si>
  <si>
    <t>All figures in AED Millions unless stated</t>
  </si>
  <si>
    <t>REVENUE GROWTH ASSUMPTIONS</t>
  </si>
  <si>
    <t>Rate</t>
  </si>
  <si>
    <t>FY2025E Revenue Growth Rate</t>
  </si>
  <si>
    <t>FY2026E Revenue Growth Rate</t>
  </si>
  <si>
    <t>FY2027E Revenue Growth Rate</t>
  </si>
  <si>
    <t>FY2028E Revenue Growth Rate</t>
  </si>
  <si>
    <t>FY2029E Revenue Growth Rate</t>
  </si>
  <si>
    <t>Terminal Growth Rate (g)</t>
  </si>
  <si>
    <t>MARGIN &amp; PROFITABILITY ASSUMPTIONS</t>
  </si>
  <si>
    <t>EBITDA Margin</t>
  </si>
  <si>
    <t>Depreciation &amp; Amortisation (% Revenue)</t>
  </si>
  <si>
    <t>Effective Tax Rate</t>
  </si>
  <si>
    <t>Capex (% Revenue)</t>
  </si>
  <si>
    <t>Change in Working Capital (% Revenue)</t>
  </si>
  <si>
    <t>WACC ASSUMPTIONS</t>
  </si>
  <si>
    <t>Risk-Free Rate (UAE 10Y Bond)</t>
  </si>
  <si>
    <t>Equity Risk Premium</t>
  </si>
  <si>
    <t>Beta (Emaar vs ADX)</t>
  </si>
  <si>
    <t>Cost of Equity  [=Rf + β × ERP]</t>
  </si>
  <si>
    <t>Cost of Debt (pre-tax)</t>
  </si>
  <si>
    <t>Tax Rate (for after-tax debt cost)</t>
  </si>
  <si>
    <t>Weight of Equity</t>
  </si>
  <si>
    <t>Weight of Debt</t>
  </si>
  <si>
    <t>WACC  [=We×Ke + Wd×Kd×(1-t)]</t>
  </si>
  <si>
    <t>VALUATION CROSS-CHECK</t>
  </si>
  <si>
    <t>Shares Outstanding (Millions)</t>
  </si>
  <si>
    <t>Net Debt / (Net Cash) — AED Mn</t>
  </si>
  <si>
    <t>EMAAR PROPERTIES — HISTORICAL FINANCIALS (AED Millions)</t>
  </si>
  <si>
    <t>Income Statement</t>
  </si>
  <si>
    <t>FY2022A</t>
  </si>
  <si>
    <t>FY2023A</t>
  </si>
  <si>
    <t>FY2024A</t>
  </si>
  <si>
    <t>Revenue</t>
  </si>
  <si>
    <t>Cost of Revenue</t>
  </si>
  <si>
    <t>Gross Profit</t>
  </si>
  <si>
    <t>Operating Expenses (SG&amp;A)</t>
  </si>
  <si>
    <t>EBITDA</t>
  </si>
  <si>
    <t>Depreciation &amp; Amortisation</t>
  </si>
  <si>
    <t>EBIT (Operating Profit)</t>
  </si>
  <si>
    <t>Interest Expense</t>
  </si>
  <si>
    <t>Profit Before Tax</t>
  </si>
  <si>
    <t>Tax Expense</t>
  </si>
  <si>
    <t>Net Profit (Attributable)</t>
  </si>
  <si>
    <t>CASH FLOW STATEMENT (KEY ITEMS)</t>
  </si>
  <si>
    <t>Net Profit</t>
  </si>
  <si>
    <t>Add: Depreciation &amp; Amortisation</t>
  </si>
  <si>
    <t>Changes in Working Capital</t>
  </si>
  <si>
    <t>Cash Flow from Operations</t>
  </si>
  <si>
    <t>Capital Expenditure (Capex)</t>
  </si>
  <si>
    <t>Free Cash Flow to Firm (FCFF)</t>
  </si>
  <si>
    <t>KEY RATIOS (AUTO-CALCULATED)</t>
  </si>
  <si>
    <t>Revenue Growth YoY</t>
  </si>
  <si>
    <t>n/a</t>
  </si>
  <si>
    <t>Gross Margin</t>
  </si>
  <si>
    <t>Net Profit Margin</t>
  </si>
  <si>
    <t>EMAAR PROPERTIES — 5-YEAR FINANCIAL PROJECTIONS (AED Millions)</t>
  </si>
  <si>
    <t>Projections</t>
  </si>
  <si>
    <t>FY2024A
(Base)</t>
  </si>
  <si>
    <t>FY2025E</t>
  </si>
  <si>
    <t>FY2026E</t>
  </si>
  <si>
    <t>FY2027E</t>
  </si>
  <si>
    <t>FY2028E</t>
  </si>
  <si>
    <t>FY2029E</t>
  </si>
  <si>
    <t>EBIT</t>
  </si>
  <si>
    <t>NOPAT (Net Operating Profit After Tax)</t>
  </si>
  <si>
    <t>Add: D&amp;A</t>
  </si>
  <si>
    <t>Less: Capex</t>
  </si>
  <si>
    <t>Less: Change in Working Capital</t>
  </si>
  <si>
    <t>EMAAR PROPERTIES — DCF VALUATION (AED Millions)</t>
  </si>
  <si>
    <t>WACC (from Assumptions)</t>
  </si>
  <si>
    <t>STEP 1: FREE CASH FLOWS &amp; DISCOUNT FACTORS</t>
  </si>
  <si>
    <t>Discount Period</t>
  </si>
  <si>
    <t>Discount Factor  [1/(1+WACC)^n]</t>
  </si>
  <si>
    <t>Present Value of FCFF</t>
  </si>
  <si>
    <t>STEP 2: TERMINAL VALUE</t>
  </si>
  <si>
    <t>Terminal Year FCFF (FY2029E)</t>
  </si>
  <si>
    <t>Terminal Value  [FCFF × (1+g) / (WACC - g)]</t>
  </si>
  <si>
    <t>PV of Terminal Value</t>
  </si>
  <si>
    <t>STEP 3: ENTERPRISE &amp; EQUITY VALUE</t>
  </si>
  <si>
    <t>Sum of PV of FCFFs (FY2025-2029)</t>
  </si>
  <si>
    <t>Enterprise Value (EV)</t>
  </si>
  <si>
    <t>Less: Net Debt</t>
  </si>
  <si>
    <t>Equity Value</t>
  </si>
  <si>
    <t>Implied Share Price (AED)</t>
  </si>
  <si>
    <t>Current Market Price (AED)  — fill in manually</t>
  </si>
  <si>
    <t>Upside / (Downside)</t>
  </si>
  <si>
    <t>SENSITIVITY ANALYSIS — IMPLIED SHARE PRICE (AED)</t>
  </si>
  <si>
    <t>WACC \ Terminal Growth</t>
  </si>
  <si>
    <t>📌 SOURCE:  Emaar Annual Reports (emaar.com/investor-relations). Use figures in AED Millions. Source: Emaar Properties Annual Reports 2022, 2023, 2024.</t>
  </si>
  <si>
    <t>on 10/06/2026</t>
  </si>
  <si>
    <t>Prepared by: Nathan D'Costa</t>
  </si>
  <si>
    <t>Finance Graduate — Curtin University Dubai</t>
  </si>
  <si>
    <t>CFA Level 1 Candidate (August 2026)</t>
  </si>
  <si>
    <t>LinkedIn: linkedin.com/in/nathan-dcosta-502b68251</t>
  </si>
  <si>
    <t>Data Source: Emaar Properties Annual Reports 2022–2024</t>
  </si>
  <si>
    <t>Methodology: DCF Valuation (FCFF Approach), 5-Year Projection</t>
  </si>
  <si>
    <t>Date: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</si>
</sst>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#,##0;\(#,##0\);\-"/>
    <numFmt numFmtId="166" formatCode="#,##0.00;\(#,##0.00\);\-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9"/>
      <color rgb="FF444444"/>
      <name val="Arial"/>
      <charset val="1"/>
    </font>
    <font>
      <b/>
      <sz val="13"/>
      <color rgb="FFFFFFFF"/>
      <name val="Arial"/>
      <charset val="1"/>
    </font>
    <font>
      <sz val="10"/>
      <color rgb="FF008000"/>
      <name val="Arial"/>
      <charset val="1"/>
    </font>
    <font>
      <sz val="10"/>
      <name val="Arial"/>
      <family val="2"/>
    </font>
    <font>
      <i/>
      <sz val="9"/>
      <color rgb="FF444444"/>
      <name val="Arial"/>
      <family val="2"/>
    </font>
    <font>
      <b/>
      <sz val="16"/>
      <color theme="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FF9E6"/>
      </patternFill>
    </fill>
    <fill>
      <patternFill patternType="solid">
        <fgColor rgb="FFD6E4F0"/>
        <bgColor rgb="FFE8F5E9"/>
      </patternFill>
    </fill>
    <fill>
      <patternFill patternType="solid">
        <fgColor rgb="FFF2F2F2"/>
        <bgColor rgb="FFE8F5E9"/>
      </patternFill>
    </fill>
    <fill>
      <patternFill patternType="solid">
        <fgColor rgb="FFFFF9E6"/>
        <bgColor rgb="FFFFFFFF"/>
      </patternFill>
    </fill>
    <fill>
      <patternFill patternType="solid">
        <fgColor rgb="FF2E5EAA"/>
        <bgColor rgb="FF3366FF"/>
      </patternFill>
    </fill>
    <fill>
      <patternFill patternType="solid">
        <fgColor rgb="FFE8F5E9"/>
        <bgColor rgb="FFF2F2F2"/>
      </patternFill>
    </fill>
    <fill>
      <patternFill patternType="solid">
        <fgColor rgb="FFFFEBEE"/>
        <bgColor rgb="FFF2F2F2"/>
      </patternFill>
    </fill>
    <fill>
      <patternFill patternType="solid">
        <fgColor theme="0"/>
        <bgColor rgb="FFE8F5E9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8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vertical="top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left" indent="1"/>
    </xf>
    <xf numFmtId="164" fontId="5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left" indent="1"/>
    </xf>
    <xf numFmtId="0" fontId="6" fillId="4" borderId="0" xfId="0" applyFont="1" applyFill="1" applyAlignment="1">
      <alignment horizontal="left" indent="1"/>
    </xf>
    <xf numFmtId="164" fontId="6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left" indent="1"/>
    </xf>
    <xf numFmtId="165" fontId="5" fillId="4" borderId="0" xfId="0" applyNumberFormat="1" applyFont="1" applyFill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165" fontId="6" fillId="5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 wrapText="1"/>
    </xf>
    <xf numFmtId="165" fontId="9" fillId="0" borderId="0" xfId="0" applyNumberFormat="1" applyFont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6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6" fillId="5" borderId="0" xfId="0" applyFont="1" applyFill="1" applyAlignment="1">
      <alignment horizontal="left" indent="1"/>
    </xf>
    <xf numFmtId="0" fontId="3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center"/>
    </xf>
    <xf numFmtId="3" fontId="0" fillId="0" borderId="0" xfId="0" applyNumberFormat="1"/>
    <xf numFmtId="0" fontId="8" fillId="2" borderId="0" xfId="0" applyFont="1" applyFill="1" applyAlignment="1">
      <alignment vertical="center"/>
    </xf>
    <xf numFmtId="0" fontId="0" fillId="0" borderId="0" xfId="0" applyAlignment="1"/>
    <xf numFmtId="0" fontId="3" fillId="7" borderId="0" xfId="0" applyFont="1" applyFill="1" applyAlignment="1"/>
    <xf numFmtId="0" fontId="4" fillId="3" borderId="0" xfId="0" applyFont="1" applyFill="1" applyAlignment="1"/>
    <xf numFmtId="3" fontId="0" fillId="0" borderId="0" xfId="0" applyNumberFormat="1" applyAlignment="1"/>
    <xf numFmtId="0" fontId="6" fillId="5" borderId="0" xfId="0" applyFont="1" applyFill="1" applyAlignment="1"/>
    <xf numFmtId="165" fontId="6" fillId="5" borderId="0" xfId="0" applyNumberFormat="1" applyFont="1" applyFill="1" applyAlignment="1"/>
    <xf numFmtId="0" fontId="3" fillId="2" borderId="0" xfId="0" applyFont="1" applyFill="1" applyAlignment="1">
      <alignment vertical="center"/>
    </xf>
    <xf numFmtId="0" fontId="0" fillId="2" borderId="0" xfId="0" applyFill="1" applyAlignment="1"/>
    <xf numFmtId="0" fontId="4" fillId="5" borderId="0" xfId="0" applyFont="1" applyFill="1" applyAlignment="1"/>
    <xf numFmtId="0" fontId="0" fillId="5" borderId="0" xfId="0" applyFill="1" applyAlignment="1"/>
    <xf numFmtId="164" fontId="0" fillId="5" borderId="0" xfId="0" applyNumberFormat="1" applyFill="1" applyAlignment="1"/>
    <xf numFmtId="165" fontId="10" fillId="10" borderId="0" xfId="0" applyNumberFormat="1" applyFont="1" applyFill="1" applyAlignment="1"/>
    <xf numFmtId="0" fontId="11" fillId="6" borderId="0" xfId="0" applyFont="1" applyFill="1" applyAlignment="1">
      <alignment vertical="top" wrapText="1"/>
    </xf>
    <xf numFmtId="14" fontId="0" fillId="0" borderId="0" xfId="0" applyNumberFormat="1"/>
    <xf numFmtId="0" fontId="13" fillId="0" borderId="0" xfId="0" applyFont="1"/>
    <xf numFmtId="0" fontId="12" fillId="11" borderId="0" xfId="0" applyFont="1" applyFill="1" applyAlignment="1">
      <alignment horizontal="center"/>
    </xf>
    <xf numFmtId="3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8F5E9"/>
      <rgbColor rgb="FF660066"/>
      <rgbColor rgb="FFFF8080"/>
      <rgbColor rgb="FF2E5EA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CA08-C155-4C98-BDD1-03319AC85E3D}">
  <dimension ref="A1:F9"/>
  <sheetViews>
    <sheetView workbookViewId="0">
      <selection activeCell="A7" sqref="A7"/>
    </sheetView>
  </sheetViews>
  <sheetFormatPr defaultRowHeight="15" x14ac:dyDescent="0.25"/>
  <cols>
    <col min="1" max="1" width="64.7109375" customWidth="1"/>
  </cols>
  <sheetData>
    <row r="1" spans="1:6" ht="21" x14ac:dyDescent="0.35">
      <c r="A1" s="53" t="s">
        <v>0</v>
      </c>
      <c r="B1" s="53"/>
      <c r="C1" s="53"/>
      <c r="D1" s="53"/>
      <c r="E1" s="53"/>
      <c r="F1" s="53"/>
    </row>
    <row r="3" spans="1:6" ht="18.75" customHeight="1" x14ac:dyDescent="0.3">
      <c r="A3" s="52" t="s">
        <v>92</v>
      </c>
    </row>
    <row r="4" spans="1:6" x14ac:dyDescent="0.25">
      <c r="A4" t="s">
        <v>93</v>
      </c>
    </row>
    <row r="5" spans="1:6" x14ac:dyDescent="0.25">
      <c r="A5" t="s">
        <v>94</v>
      </c>
    </row>
    <row r="6" spans="1:6" x14ac:dyDescent="0.25">
      <c r="A6" t="s">
        <v>95</v>
      </c>
    </row>
    <row r="7" spans="1:6" x14ac:dyDescent="0.25">
      <c r="A7" t="s">
        <v>98</v>
      </c>
    </row>
    <row r="8" spans="1:6" x14ac:dyDescent="0.25">
      <c r="A8" t="s">
        <v>96</v>
      </c>
    </row>
    <row r="9" spans="1:6" x14ac:dyDescent="0.25">
      <c r="A9" t="s">
        <v>97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A10" zoomScaleNormal="100" workbookViewId="0">
      <selection activeCell="A35" sqref="A35:C35"/>
    </sheetView>
  </sheetViews>
  <sheetFormatPr defaultColWidth="8.7109375" defaultRowHeight="15" x14ac:dyDescent="0.25"/>
  <cols>
    <col min="1" max="1" width="35" customWidth="1"/>
    <col min="2" max="2" width="18" customWidth="1"/>
    <col min="3" max="3" width="25" customWidth="1"/>
    <col min="4" max="5" width="18" customWidth="1"/>
  </cols>
  <sheetData>
    <row r="1" spans="1:8" ht="30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4" spans="1:8" ht="18" customHeight="1" x14ac:dyDescent="0.25">
      <c r="A4" s="5" t="s">
        <v>2</v>
      </c>
      <c r="B4" s="6"/>
      <c r="C4" s="7" t="s">
        <v>3</v>
      </c>
      <c r="D4" s="6"/>
      <c r="E4" s="6"/>
    </row>
    <row r="5" spans="1:8" x14ac:dyDescent="0.25">
      <c r="A5" s="8" t="s">
        <v>4</v>
      </c>
      <c r="C5" s="9">
        <v>0.1</v>
      </c>
    </row>
    <row r="6" spans="1:8" x14ac:dyDescent="0.25">
      <c r="A6" s="10" t="s">
        <v>5</v>
      </c>
      <c r="C6" s="9">
        <v>0.09</v>
      </c>
    </row>
    <row r="7" spans="1:8" x14ac:dyDescent="0.25">
      <c r="A7" s="8" t="s">
        <v>6</v>
      </c>
      <c r="C7" s="9">
        <v>0.08</v>
      </c>
    </row>
    <row r="8" spans="1:8" x14ac:dyDescent="0.25">
      <c r="A8" s="10" t="s">
        <v>7</v>
      </c>
      <c r="C8" s="9">
        <v>7.0000000000000007E-2</v>
      </c>
    </row>
    <row r="9" spans="1:8" x14ac:dyDescent="0.25">
      <c r="A9" s="8" t="s">
        <v>8</v>
      </c>
      <c r="C9" s="9">
        <v>0.06</v>
      </c>
    </row>
    <row r="10" spans="1:8" x14ac:dyDescent="0.25">
      <c r="A10" s="10" t="s">
        <v>9</v>
      </c>
      <c r="C10" s="9">
        <v>0.03</v>
      </c>
    </row>
    <row r="12" spans="1:8" ht="18" customHeight="1" x14ac:dyDescent="0.25">
      <c r="A12" s="5" t="s">
        <v>10</v>
      </c>
      <c r="B12" s="6"/>
      <c r="C12" s="7" t="s">
        <v>3</v>
      </c>
      <c r="D12" s="6"/>
      <c r="E12" s="6"/>
    </row>
    <row r="13" spans="1:8" x14ac:dyDescent="0.25">
      <c r="A13" s="8" t="s">
        <v>11</v>
      </c>
      <c r="C13" s="9">
        <v>0.38</v>
      </c>
    </row>
    <row r="14" spans="1:8" x14ac:dyDescent="0.25">
      <c r="A14" s="10" t="s">
        <v>12</v>
      </c>
      <c r="C14" s="9">
        <v>0.02</v>
      </c>
    </row>
    <row r="15" spans="1:8" x14ac:dyDescent="0.25">
      <c r="A15" s="8" t="s">
        <v>13</v>
      </c>
      <c r="C15" s="9">
        <v>0.09</v>
      </c>
    </row>
    <row r="16" spans="1:8" x14ac:dyDescent="0.25">
      <c r="A16" s="10" t="s">
        <v>14</v>
      </c>
      <c r="C16" s="9">
        <v>0.02</v>
      </c>
    </row>
    <row r="17" spans="1:5" x14ac:dyDescent="0.25">
      <c r="A17" s="8" t="s">
        <v>15</v>
      </c>
      <c r="C17" s="9">
        <v>0.02</v>
      </c>
    </row>
    <row r="19" spans="1:5" ht="18" customHeight="1" x14ac:dyDescent="0.25">
      <c r="A19" s="5" t="s">
        <v>16</v>
      </c>
      <c r="B19" s="6"/>
      <c r="C19" s="7" t="s">
        <v>3</v>
      </c>
      <c r="D19" s="6"/>
      <c r="E19" s="6"/>
    </row>
    <row r="20" spans="1:5" x14ac:dyDescent="0.25">
      <c r="A20" s="10" t="s">
        <v>17</v>
      </c>
      <c r="C20" s="9">
        <v>4.4999999999999998E-2</v>
      </c>
    </row>
    <row r="21" spans="1:5" x14ac:dyDescent="0.25">
      <c r="A21" s="8" t="s">
        <v>18</v>
      </c>
      <c r="C21" s="9">
        <v>5.5E-2</v>
      </c>
    </row>
    <row r="22" spans="1:5" x14ac:dyDescent="0.25">
      <c r="A22" s="10" t="s">
        <v>19</v>
      </c>
      <c r="C22" s="9">
        <v>0.9</v>
      </c>
    </row>
    <row r="23" spans="1:5" x14ac:dyDescent="0.25">
      <c r="A23" s="11" t="s">
        <v>20</v>
      </c>
      <c r="C23" s="12">
        <f>C20+C22*C21</f>
        <v>9.4500000000000001E-2</v>
      </c>
    </row>
    <row r="24" spans="1:5" x14ac:dyDescent="0.25">
      <c r="A24" s="10" t="s">
        <v>21</v>
      </c>
      <c r="C24" s="9">
        <v>0.05</v>
      </c>
    </row>
    <row r="25" spans="1:5" x14ac:dyDescent="0.25">
      <c r="A25" s="8" t="s">
        <v>22</v>
      </c>
      <c r="C25" s="9">
        <v>0.09</v>
      </c>
    </row>
    <row r="26" spans="1:5" x14ac:dyDescent="0.25">
      <c r="A26" s="10" t="s">
        <v>23</v>
      </c>
      <c r="C26" s="9">
        <v>0.7</v>
      </c>
    </row>
    <row r="27" spans="1:5" x14ac:dyDescent="0.25">
      <c r="A27" s="8" t="s">
        <v>24</v>
      </c>
      <c r="C27" s="9">
        <v>0.3</v>
      </c>
    </row>
    <row r="28" spans="1:5" x14ac:dyDescent="0.25">
      <c r="A28" s="11" t="s">
        <v>25</v>
      </c>
      <c r="C28" s="12">
        <f>C26*C23+C27*C24*(1-C25)</f>
        <v>7.9799999999999996E-2</v>
      </c>
    </row>
    <row r="30" spans="1:5" ht="18" customHeight="1" x14ac:dyDescent="0.25">
      <c r="A30" s="5" t="s">
        <v>26</v>
      </c>
      <c r="B30" s="6"/>
      <c r="C30" s="6"/>
      <c r="D30" s="6"/>
      <c r="E30" s="6"/>
    </row>
    <row r="31" spans="1:5" x14ac:dyDescent="0.25">
      <c r="A31" s="13" t="s">
        <v>27</v>
      </c>
      <c r="C31" s="14">
        <v>7340</v>
      </c>
    </row>
    <row r="32" spans="1:5" x14ac:dyDescent="0.25">
      <c r="A32" s="13" t="s">
        <v>28</v>
      </c>
      <c r="C32" s="14">
        <v>-40370</v>
      </c>
    </row>
    <row r="33" ht="15" customHeight="1" x14ac:dyDescent="0.25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zoomScaleNormal="100" workbookViewId="0">
      <selection activeCell="K25" sqref="K25"/>
    </sheetView>
  </sheetViews>
  <sheetFormatPr defaultColWidth="8.7109375" defaultRowHeight="15" x14ac:dyDescent="0.25"/>
  <cols>
    <col min="1" max="1" width="38" style="38" customWidth="1"/>
    <col min="2" max="5" width="16" style="38" customWidth="1"/>
    <col min="6" max="16384" width="8.7109375" style="38"/>
  </cols>
  <sheetData>
    <row r="1" spans="1:7" ht="27.75" customHeight="1" x14ac:dyDescent="0.25">
      <c r="A1" s="37" t="s">
        <v>29</v>
      </c>
      <c r="B1" s="37"/>
      <c r="C1" s="37"/>
      <c r="D1" s="37"/>
      <c r="E1" s="37"/>
    </row>
    <row r="3" spans="1:7" x14ac:dyDescent="0.25">
      <c r="A3" s="39" t="s">
        <v>30</v>
      </c>
      <c r="B3" s="39" t="s">
        <v>31</v>
      </c>
      <c r="C3" s="39" t="s">
        <v>32</v>
      </c>
      <c r="D3" s="39" t="s">
        <v>33</v>
      </c>
    </row>
    <row r="4" spans="1:7" x14ac:dyDescent="0.25">
      <c r="A4" s="40" t="s">
        <v>34</v>
      </c>
      <c r="B4" s="41">
        <v>24926</v>
      </c>
      <c r="C4" s="41">
        <v>26750</v>
      </c>
      <c r="D4" s="41">
        <v>35505</v>
      </c>
    </row>
    <row r="5" spans="1:7" x14ac:dyDescent="0.25">
      <c r="A5" s="40" t="s">
        <v>35</v>
      </c>
      <c r="B5" s="41">
        <v>12338</v>
      </c>
      <c r="C5" s="41">
        <v>9884</v>
      </c>
      <c r="D5" s="41">
        <v>15124</v>
      </c>
    </row>
    <row r="6" spans="1:7" x14ac:dyDescent="0.25">
      <c r="A6" s="42" t="s">
        <v>36</v>
      </c>
      <c r="B6" s="43">
        <f>B4-B5</f>
        <v>12588</v>
      </c>
      <c r="C6" s="43">
        <f>C4-C5</f>
        <v>16866</v>
      </c>
      <c r="D6" s="43">
        <f>D4-D5</f>
        <v>20381</v>
      </c>
    </row>
    <row r="7" spans="1:7" x14ac:dyDescent="0.25">
      <c r="A7" s="40" t="s">
        <v>37</v>
      </c>
      <c r="B7" s="41">
        <v>3522</v>
      </c>
      <c r="C7" s="41">
        <v>2786</v>
      </c>
      <c r="D7" s="41">
        <v>3232</v>
      </c>
    </row>
    <row r="8" spans="1:7" x14ac:dyDescent="0.25">
      <c r="A8" s="42" t="s">
        <v>38</v>
      </c>
      <c r="B8" s="43">
        <f>B6-B7</f>
        <v>9066</v>
      </c>
      <c r="C8" s="43">
        <f>C6-C7</f>
        <v>14080</v>
      </c>
      <c r="D8" s="43">
        <f>D6-D7</f>
        <v>17149</v>
      </c>
    </row>
    <row r="9" spans="1:7" x14ac:dyDescent="0.25">
      <c r="A9" s="40" t="s">
        <v>39</v>
      </c>
      <c r="B9" s="41">
        <v>1269</v>
      </c>
      <c r="C9" s="41">
        <v>1397</v>
      </c>
      <c r="D9" s="41">
        <v>1427</v>
      </c>
    </row>
    <row r="10" spans="1:7" x14ac:dyDescent="0.25">
      <c r="A10" s="42" t="s">
        <v>40</v>
      </c>
      <c r="B10" s="43">
        <f>B8-B9</f>
        <v>7797</v>
      </c>
      <c r="C10" s="43">
        <f>C8-C9</f>
        <v>12683</v>
      </c>
      <c r="D10" s="43">
        <f>D8-D9</f>
        <v>15722</v>
      </c>
    </row>
    <row r="11" spans="1:7" x14ac:dyDescent="0.25">
      <c r="A11" s="40" t="s">
        <v>41</v>
      </c>
      <c r="B11" s="38">
        <v>981</v>
      </c>
      <c r="C11" s="41">
        <v>1039</v>
      </c>
      <c r="D11" s="38">
        <v>941</v>
      </c>
    </row>
    <row r="12" spans="1:7" x14ac:dyDescent="0.25">
      <c r="A12" s="42" t="s">
        <v>42</v>
      </c>
      <c r="B12" s="43">
        <f>B10-B11</f>
        <v>6816</v>
      </c>
      <c r="C12" s="43">
        <f>C10-C11</f>
        <v>11644</v>
      </c>
      <c r="D12" s="43">
        <f>D10-D11</f>
        <v>14781</v>
      </c>
    </row>
    <row r="13" spans="1:7" x14ac:dyDescent="0.25">
      <c r="A13" s="40" t="s">
        <v>43</v>
      </c>
      <c r="B13" s="38">
        <v>338</v>
      </c>
      <c r="C13" s="38">
        <v>232</v>
      </c>
      <c r="D13" s="41">
        <v>1451</v>
      </c>
      <c r="G13" s="43"/>
    </row>
    <row r="14" spans="1:7" x14ac:dyDescent="0.25">
      <c r="A14" s="42" t="s">
        <v>44</v>
      </c>
      <c r="B14" s="43">
        <f>B12-B13</f>
        <v>6478</v>
      </c>
      <c r="C14" s="43">
        <f>C12-C13</f>
        <v>11412</v>
      </c>
      <c r="D14" s="43">
        <f>D12-D13</f>
        <v>13330</v>
      </c>
    </row>
    <row r="16" spans="1:7" ht="18" customHeight="1" x14ac:dyDescent="0.25">
      <c r="A16" s="44" t="s">
        <v>45</v>
      </c>
      <c r="B16" s="45"/>
      <c r="C16" s="45"/>
      <c r="D16" s="45"/>
    </row>
    <row r="17" spans="1:4" x14ac:dyDescent="0.25">
      <c r="A17" s="40" t="s">
        <v>46</v>
      </c>
      <c r="B17" s="49">
        <f>B14</f>
        <v>6478</v>
      </c>
      <c r="C17" s="49">
        <f>C14</f>
        <v>11412</v>
      </c>
      <c r="D17" s="49">
        <f>D14</f>
        <v>13330</v>
      </c>
    </row>
    <row r="18" spans="1:4" x14ac:dyDescent="0.25">
      <c r="A18" s="40" t="s">
        <v>47</v>
      </c>
      <c r="B18" s="49">
        <f>B9</f>
        <v>1269</v>
      </c>
      <c r="C18" s="49">
        <f>C9</f>
        <v>1397</v>
      </c>
      <c r="D18" s="49">
        <f>D9</f>
        <v>1427</v>
      </c>
    </row>
    <row r="19" spans="1:4" x14ac:dyDescent="0.25">
      <c r="A19" s="40" t="s">
        <v>48</v>
      </c>
      <c r="B19" s="54">
        <v>8229</v>
      </c>
      <c r="C19" s="36">
        <v>2662</v>
      </c>
      <c r="D19" s="54">
        <v>5394</v>
      </c>
    </row>
    <row r="20" spans="1:4" x14ac:dyDescent="0.25">
      <c r="A20" s="42" t="s">
        <v>49</v>
      </c>
      <c r="B20" s="43">
        <f>B17+B18+B19</f>
        <v>15976</v>
      </c>
      <c r="C20" s="43">
        <f>C17+C18+C19</f>
        <v>15471</v>
      </c>
      <c r="D20" s="43">
        <f>D17+D18+D19</f>
        <v>20151</v>
      </c>
    </row>
    <row r="21" spans="1:4" x14ac:dyDescent="0.25">
      <c r="A21" s="40" t="s">
        <v>50</v>
      </c>
      <c r="B21">
        <v>960</v>
      </c>
      <c r="C21">
        <v>579</v>
      </c>
      <c r="D21">
        <v>534</v>
      </c>
    </row>
    <row r="22" spans="1:4" x14ac:dyDescent="0.25">
      <c r="A22" s="42" t="s">
        <v>51</v>
      </c>
      <c r="B22" s="43">
        <f>B20-B21</f>
        <v>15016</v>
      </c>
      <c r="C22" s="43">
        <f>C20-C21</f>
        <v>14892</v>
      </c>
      <c r="D22" s="43">
        <f>D20-D21</f>
        <v>19617</v>
      </c>
    </row>
    <row r="24" spans="1:4" ht="18" customHeight="1" x14ac:dyDescent="0.25">
      <c r="A24" s="44" t="s">
        <v>52</v>
      </c>
      <c r="B24" s="45"/>
      <c r="C24" s="45"/>
      <c r="D24" s="45"/>
    </row>
    <row r="25" spans="1:4" x14ac:dyDescent="0.25">
      <c r="A25" s="46" t="s">
        <v>53</v>
      </c>
      <c r="B25" s="47" t="s">
        <v>54</v>
      </c>
      <c r="C25" s="48">
        <f>IF(B4=0,"-",(C4-B4)/B4)</f>
        <v>7.3176602744122604E-2</v>
      </c>
      <c r="D25" s="48">
        <f>IF(C4=0,"-",(D4-C4)/C4)</f>
        <v>0.32728971962616821</v>
      </c>
    </row>
    <row r="26" spans="1:4" x14ac:dyDescent="0.25">
      <c r="A26" s="46" t="s">
        <v>55</v>
      </c>
      <c r="B26" s="48">
        <f>IF(B4=0,"-",B6/B4)</f>
        <v>0.50501484393805662</v>
      </c>
      <c r="C26" s="48">
        <f>IF(C4=0,"-",C6/C4)</f>
        <v>0.63050467289719625</v>
      </c>
      <c r="D26" s="48">
        <f>IF(D4=0,"-",D6/D4)</f>
        <v>0.57403182650330942</v>
      </c>
    </row>
    <row r="27" spans="1:4" x14ac:dyDescent="0.25">
      <c r="A27" s="46" t="s">
        <v>11</v>
      </c>
      <c r="B27" s="48">
        <f>IF(B4=0,"-",B8/B4)</f>
        <v>0.36371660113937254</v>
      </c>
      <c r="C27" s="48">
        <f>IF(C4=0,"-",C8/C4)</f>
        <v>0.52635514018691587</v>
      </c>
      <c r="D27" s="48">
        <f>IF(D4=0,"-",D8/D4)</f>
        <v>0.48300239402901002</v>
      </c>
    </row>
    <row r="28" spans="1:4" x14ac:dyDescent="0.25">
      <c r="A28" s="46" t="s">
        <v>56</v>
      </c>
      <c r="B28" s="48">
        <f>IF(B4=0,"-",B14/B4)</f>
        <v>0.25988927224584774</v>
      </c>
      <c r="C28" s="48">
        <f>IF(C4=0,"-",C14/C4)</f>
        <v>0.42661682242990656</v>
      </c>
      <c r="D28" s="48">
        <f>IF(D4=0,"-",D14/D4)</f>
        <v>0.3754400788621321</v>
      </c>
    </row>
    <row r="30" spans="1:4" ht="15" customHeight="1" x14ac:dyDescent="0.25">
      <c r="A30" s="50" t="s">
        <v>90</v>
      </c>
      <c r="B30" s="2"/>
      <c r="C30" s="2"/>
      <c r="D30" s="2"/>
    </row>
    <row r="31" spans="1:4" x14ac:dyDescent="0.25">
      <c r="A31" s="2"/>
      <c r="B31" s="2"/>
      <c r="C31" s="2"/>
      <c r="D31" s="2"/>
    </row>
  </sheetData>
  <mergeCells count="2">
    <mergeCell ref="A1:E1"/>
    <mergeCell ref="A30:D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38" customWidth="1"/>
    <col min="2" max="7" width="15" customWidth="1"/>
  </cols>
  <sheetData>
    <row r="1" spans="1:7" ht="27.75" customHeight="1" x14ac:dyDescent="0.25">
      <c r="A1" s="1" t="s">
        <v>57</v>
      </c>
      <c r="B1" s="1"/>
      <c r="C1" s="1"/>
      <c r="D1" s="1"/>
      <c r="E1" s="1"/>
      <c r="F1" s="1"/>
      <c r="G1" s="1"/>
    </row>
    <row r="3" spans="1:7" ht="30" customHeight="1" x14ac:dyDescent="0.25">
      <c r="A3" s="15" t="s">
        <v>58</v>
      </c>
      <c r="B3" s="19" t="s">
        <v>59</v>
      </c>
      <c r="C3" s="19" t="s">
        <v>60</v>
      </c>
      <c r="D3" s="19" t="s">
        <v>61</v>
      </c>
      <c r="E3" s="19" t="s">
        <v>62</v>
      </c>
      <c r="F3" s="19" t="s">
        <v>63</v>
      </c>
      <c r="G3" s="19" t="s">
        <v>64</v>
      </c>
    </row>
    <row r="4" spans="1:7" x14ac:dyDescent="0.25">
      <c r="A4" s="8" t="s">
        <v>34</v>
      </c>
      <c r="B4" s="20">
        <f>'2. Historical Financials'!D4</f>
        <v>35505</v>
      </c>
      <c r="C4" s="21">
        <f>B4*(1+'1. Assumptions'!C5)</f>
        <v>39055.5</v>
      </c>
      <c r="D4" s="21">
        <f>C4*(1+'1. Assumptions'!C6)</f>
        <v>42570.495000000003</v>
      </c>
      <c r="E4" s="21">
        <f>D4*(1+'1. Assumptions'!C7)</f>
        <v>45976.134600000005</v>
      </c>
      <c r="F4" s="21">
        <f>E4*(1+'1. Assumptions'!C8)</f>
        <v>49194.464022000007</v>
      </c>
      <c r="G4" s="21">
        <f>F4*(1+'1. Assumptions'!C9)</f>
        <v>52146.131863320014</v>
      </c>
    </row>
    <row r="5" spans="1:7" x14ac:dyDescent="0.25">
      <c r="A5" s="17" t="s">
        <v>38</v>
      </c>
      <c r="B5" s="20">
        <f>'2. Historical Financials'!D8</f>
        <v>17149</v>
      </c>
      <c r="C5" s="18">
        <f>C4*'1. Assumptions'!C13</f>
        <v>14841.09</v>
      </c>
      <c r="D5" s="18">
        <f>D4*'1. Assumptions'!C13</f>
        <v>16176.788100000002</v>
      </c>
      <c r="E5" s="18">
        <f>E4*'1. Assumptions'!C13</f>
        <v>17470.931148000003</v>
      </c>
      <c r="F5" s="18">
        <f>F4*'1. Assumptions'!C13</f>
        <v>18693.896328360002</v>
      </c>
      <c r="G5" s="18">
        <f>G4*'1. Assumptions'!C13</f>
        <v>19815.530108061605</v>
      </c>
    </row>
    <row r="6" spans="1:7" x14ac:dyDescent="0.25">
      <c r="A6" s="8" t="s">
        <v>11</v>
      </c>
      <c r="B6" s="22">
        <f>'2. Historical Financials'!D27</f>
        <v>0.48300239402901002</v>
      </c>
      <c r="C6" s="23">
        <f>IF(C4=0,0,C5/C4)</f>
        <v>0.38</v>
      </c>
      <c r="D6" s="23">
        <f>IF(D4=0,0,D5/D4)</f>
        <v>0.38</v>
      </c>
      <c r="E6" s="23">
        <f>IF(E4=0,0,E5/E4)</f>
        <v>0.38</v>
      </c>
      <c r="F6" s="23">
        <f>IF(F4=0,0,F5/F4)</f>
        <v>0.38</v>
      </c>
      <c r="G6" s="23">
        <f>IF(G4=0,0,G5/G4)</f>
        <v>0.38</v>
      </c>
    </row>
    <row r="7" spans="1:7" x14ac:dyDescent="0.25">
      <c r="A7" s="8" t="s">
        <v>39</v>
      </c>
      <c r="B7" s="20">
        <f>'2. Historical Financials'!D9</f>
        <v>1427</v>
      </c>
      <c r="C7" s="21">
        <f>C4*'1. Assumptions'!C14</f>
        <v>781.11</v>
      </c>
      <c r="D7" s="21">
        <f>D4*'1. Assumptions'!C14</f>
        <v>851.40990000000011</v>
      </c>
      <c r="E7" s="21">
        <f>E4*'1. Assumptions'!C14</f>
        <v>919.52269200000012</v>
      </c>
      <c r="F7" s="21">
        <f>F4*'1. Assumptions'!C14</f>
        <v>983.88928044000022</v>
      </c>
      <c r="G7" s="21">
        <f>G4*'1. Assumptions'!C14</f>
        <v>1042.9226372664002</v>
      </c>
    </row>
    <row r="8" spans="1:7" x14ac:dyDescent="0.25">
      <c r="A8" s="17" t="s">
        <v>65</v>
      </c>
      <c r="B8" s="20">
        <f>'2. Historical Financials'!D10</f>
        <v>15722</v>
      </c>
      <c r="C8" s="18">
        <f>C5-C7</f>
        <v>14059.98</v>
      </c>
      <c r="D8" s="18">
        <f>D5-D7</f>
        <v>15325.378200000001</v>
      </c>
      <c r="E8" s="18">
        <f>E5-E7</f>
        <v>16551.408456000005</v>
      </c>
      <c r="F8" s="18">
        <f>F5-F7</f>
        <v>17710.00704792</v>
      </c>
      <c r="G8" s="18">
        <f>G5-G7</f>
        <v>18772.607470795203</v>
      </c>
    </row>
    <row r="9" spans="1:7" x14ac:dyDescent="0.25">
      <c r="A9" s="8" t="s">
        <v>43</v>
      </c>
      <c r="B9" s="20"/>
      <c r="C9" s="21">
        <f>C8*'1. Assumptions'!C15</f>
        <v>1265.3981999999999</v>
      </c>
      <c r="D9" s="21">
        <f>D8*'1. Assumptions'!C15</f>
        <v>1379.284038</v>
      </c>
      <c r="E9" s="21">
        <f>E8*'1. Assumptions'!C15</f>
        <v>1489.6267610400005</v>
      </c>
      <c r="F9" s="21">
        <f>F8*'1. Assumptions'!C15</f>
        <v>1593.9006343127999</v>
      </c>
      <c r="G9" s="21">
        <f>G8*'1. Assumptions'!C15</f>
        <v>1689.5346723715681</v>
      </c>
    </row>
    <row r="10" spans="1:7" x14ac:dyDescent="0.25">
      <c r="A10" s="17" t="s">
        <v>66</v>
      </c>
      <c r="B10" s="20"/>
      <c r="C10" s="18">
        <f>C8-C9</f>
        <v>12794.5818</v>
      </c>
      <c r="D10" s="18">
        <f>D8-D9</f>
        <v>13946.094162000001</v>
      </c>
      <c r="E10" s="18">
        <f>E8-E9</f>
        <v>15061.781694960004</v>
      </c>
      <c r="F10" s="18">
        <f>F8-F9</f>
        <v>16116.1064136072</v>
      </c>
      <c r="G10" s="18">
        <f>G8-G9</f>
        <v>17083.072798423636</v>
      </c>
    </row>
    <row r="11" spans="1:7" x14ac:dyDescent="0.25">
      <c r="A11" s="8" t="s">
        <v>67</v>
      </c>
      <c r="B11" s="20"/>
      <c r="C11" s="21">
        <f>C7</f>
        <v>781.11</v>
      </c>
      <c r="D11" s="21">
        <f>D7</f>
        <v>851.40990000000011</v>
      </c>
      <c r="E11" s="21">
        <f>E7</f>
        <v>919.52269200000012</v>
      </c>
      <c r="F11" s="21">
        <f>F7</f>
        <v>983.88928044000022</v>
      </c>
      <c r="G11" s="21">
        <f>G7</f>
        <v>1042.9226372664002</v>
      </c>
    </row>
    <row r="12" spans="1:7" x14ac:dyDescent="0.25">
      <c r="A12" s="8" t="s">
        <v>68</v>
      </c>
      <c r="B12" s="20"/>
      <c r="C12" s="21">
        <f>C4*'1. Assumptions'!C16</f>
        <v>781.11</v>
      </c>
      <c r="D12" s="21">
        <f>D4*'1. Assumptions'!C16</f>
        <v>851.40990000000011</v>
      </c>
      <c r="E12" s="21">
        <f>E4*'1. Assumptions'!C16</f>
        <v>919.52269200000012</v>
      </c>
      <c r="F12" s="21">
        <f>F4*'1. Assumptions'!C16</f>
        <v>983.88928044000022</v>
      </c>
      <c r="G12" s="21">
        <f>G4*'1. Assumptions'!C16</f>
        <v>1042.9226372664002</v>
      </c>
    </row>
    <row r="13" spans="1:7" x14ac:dyDescent="0.25">
      <c r="A13" s="8" t="s">
        <v>69</v>
      </c>
      <c r="B13" s="20"/>
      <c r="C13" s="21">
        <f>C4*'1. Assumptions'!C17</f>
        <v>781.11</v>
      </c>
      <c r="D13" s="21">
        <f>D4*'1. Assumptions'!C17</f>
        <v>851.40990000000011</v>
      </c>
      <c r="E13" s="21">
        <f>E4*'1. Assumptions'!C17</f>
        <v>919.52269200000012</v>
      </c>
      <c r="F13" s="21">
        <f>F4*'1. Assumptions'!C17</f>
        <v>983.88928044000022</v>
      </c>
      <c r="G13" s="21">
        <f>G4*'1. Assumptions'!C17</f>
        <v>1042.9226372664002</v>
      </c>
    </row>
    <row r="14" spans="1:7" x14ac:dyDescent="0.25">
      <c r="A14" s="17" t="s">
        <v>51</v>
      </c>
      <c r="B14" s="20"/>
      <c r="C14" s="18">
        <f>C10+C11-C12-C13</f>
        <v>12013.471799999999</v>
      </c>
      <c r="D14" s="18">
        <f>D10+D11-D12-D13</f>
        <v>13094.684262000001</v>
      </c>
      <c r="E14" s="18">
        <f>E10+E11-E12-E13</f>
        <v>14142.259002960003</v>
      </c>
      <c r="F14" s="18">
        <f>F10+F11-F12-F13</f>
        <v>15132.2171331672</v>
      </c>
      <c r="G14" s="18">
        <f>G10+G11-G12-G13</f>
        <v>16040.150161157237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tabSelected="1" zoomScaleNormal="100" workbookViewId="0">
      <selection activeCell="F13" sqref="F13"/>
    </sheetView>
  </sheetViews>
  <sheetFormatPr defaultColWidth="8.7109375" defaultRowHeight="15" x14ac:dyDescent="0.25"/>
  <cols>
    <col min="1" max="1" width="50.5703125" bestFit="1" customWidth="1"/>
    <col min="2" max="2" width="14.85546875" customWidth="1"/>
    <col min="3" max="3" width="17.5703125" customWidth="1"/>
    <col min="4" max="7" width="15" customWidth="1"/>
  </cols>
  <sheetData>
    <row r="1" spans="1:7" ht="27.75" customHeight="1" x14ac:dyDescent="0.25">
      <c r="A1" s="1" t="s">
        <v>70</v>
      </c>
      <c r="B1" s="1"/>
      <c r="C1" s="1"/>
      <c r="D1" s="1"/>
      <c r="E1" s="1"/>
      <c r="F1" s="1"/>
      <c r="G1" s="1"/>
    </row>
    <row r="3" spans="1:7" x14ac:dyDescent="0.25">
      <c r="A3" s="24" t="s">
        <v>71</v>
      </c>
      <c r="B3" s="12">
        <f>'1. Assumptions'!C28</f>
        <v>7.9799999999999996E-2</v>
      </c>
    </row>
    <row r="4" spans="1:7" x14ac:dyDescent="0.25">
      <c r="A4" s="24" t="s">
        <v>9</v>
      </c>
      <c r="B4" s="12">
        <f>'1. Assumptions'!C10</f>
        <v>0.03</v>
      </c>
    </row>
    <row r="6" spans="1:7" ht="18" customHeight="1" x14ac:dyDescent="0.25">
      <c r="A6" s="5" t="s">
        <v>72</v>
      </c>
      <c r="B6" s="6"/>
      <c r="C6" s="16" t="s">
        <v>60</v>
      </c>
      <c r="D6" s="16" t="s">
        <v>61</v>
      </c>
      <c r="E6" s="16" t="s">
        <v>62</v>
      </c>
      <c r="F6" s="16" t="s">
        <v>63</v>
      </c>
      <c r="G6" s="16" t="s">
        <v>64</v>
      </c>
    </row>
    <row r="7" spans="1:7" x14ac:dyDescent="0.25">
      <c r="A7" s="8" t="s">
        <v>51</v>
      </c>
      <c r="C7" s="21">
        <f>'3. Projections'!C14</f>
        <v>12013.471799999999</v>
      </c>
      <c r="D7" s="21">
        <f>'3. Projections'!D14</f>
        <v>13094.684262000001</v>
      </c>
      <c r="E7" s="21">
        <f>'3. Projections'!E14</f>
        <v>14142.259002960003</v>
      </c>
      <c r="F7" s="21">
        <f>'3. Projections'!F14</f>
        <v>15132.2171331672</v>
      </c>
      <c r="G7" s="21">
        <f>'3. Projections'!G14</f>
        <v>16040.150161157237</v>
      </c>
    </row>
    <row r="8" spans="1:7" x14ac:dyDescent="0.25">
      <c r="A8" s="8" t="s">
        <v>73</v>
      </c>
      <c r="C8" s="25">
        <v>1</v>
      </c>
      <c r="D8" s="25">
        <v>2</v>
      </c>
      <c r="E8" s="25">
        <v>3</v>
      </c>
      <c r="F8" s="25">
        <v>4</v>
      </c>
      <c r="G8" s="25">
        <v>5</v>
      </c>
    </row>
    <row r="9" spans="1:7" x14ac:dyDescent="0.25">
      <c r="A9" s="8" t="s">
        <v>74</v>
      </c>
      <c r="C9" s="26">
        <f>1/(1+$B$3)^C8</f>
        <v>0.92609742544915719</v>
      </c>
      <c r="D9" s="26">
        <f>1/(1+$B$3)^D8</f>
        <v>0.85765644142355735</v>
      </c>
      <c r="E9" s="26">
        <f>1/(1+$B$3)^E8</f>
        <v>0.7942734223222423</v>
      </c>
      <c r="F9" s="26">
        <f>1/(1+$B$3)^F8</f>
        <v>0.7355745715153198</v>
      </c>
      <c r="G9" s="26">
        <f>1/(1+$B$3)^G8</f>
        <v>0.68121371690620458</v>
      </c>
    </row>
    <row r="10" spans="1:7" x14ac:dyDescent="0.25">
      <c r="A10" s="27" t="s">
        <v>75</v>
      </c>
      <c r="C10" s="18">
        <f>C7*C9</f>
        <v>11125.645304686052</v>
      </c>
      <c r="D10" s="18">
        <f>D7*D9</f>
        <v>11230.740305711983</v>
      </c>
      <c r="E10" s="18">
        <f>E7*E9</f>
        <v>11232.820457648584</v>
      </c>
      <c r="F10" s="18">
        <f>F7*F9</f>
        <v>11130.874133806245</v>
      </c>
      <c r="G10" s="18">
        <f>G7*G9</f>
        <v>10926.770311015578</v>
      </c>
    </row>
    <row r="12" spans="1:7" ht="18" customHeight="1" x14ac:dyDescent="0.25">
      <c r="A12" s="5" t="s">
        <v>76</v>
      </c>
      <c r="B12" s="6"/>
      <c r="C12" s="6"/>
      <c r="D12" s="6"/>
    </row>
    <row r="13" spans="1:7" x14ac:dyDescent="0.25">
      <c r="A13" s="8" t="s">
        <v>77</v>
      </c>
      <c r="B13" s="21">
        <f>'3. Projections'!G14</f>
        <v>16040.150161157237</v>
      </c>
    </row>
    <row r="14" spans="1:7" x14ac:dyDescent="0.25">
      <c r="A14" s="27" t="s">
        <v>78</v>
      </c>
      <c r="B14" s="18">
        <f>B13*(1+B4)/(B3-B4)</f>
        <v>331754.10975887463</v>
      </c>
    </row>
    <row r="15" spans="1:7" x14ac:dyDescent="0.25">
      <c r="A15" s="27" t="s">
        <v>79</v>
      </c>
      <c r="B15" s="18">
        <f>B14/(1+B3)^5</f>
        <v>225995.45020775194</v>
      </c>
    </row>
    <row r="17" spans="1:4" ht="18" customHeight="1" x14ac:dyDescent="0.25">
      <c r="A17" s="5" t="s">
        <v>80</v>
      </c>
      <c r="B17" s="6"/>
      <c r="C17" s="6"/>
      <c r="D17" s="6"/>
    </row>
    <row r="18" spans="1:4" x14ac:dyDescent="0.25">
      <c r="A18" s="8" t="s">
        <v>81</v>
      </c>
      <c r="B18" s="21">
        <f>SUM(C10:G10)</f>
        <v>55646.850512868448</v>
      </c>
    </row>
    <row r="19" spans="1:4" x14ac:dyDescent="0.25">
      <c r="A19" s="8" t="s">
        <v>79</v>
      </c>
      <c r="B19" s="21">
        <f>B15</f>
        <v>225995.45020775194</v>
      </c>
    </row>
    <row r="20" spans="1:4" x14ac:dyDescent="0.25">
      <c r="A20" s="17" t="s">
        <v>82</v>
      </c>
      <c r="B20" s="18">
        <f>B18+B19</f>
        <v>281642.30072062038</v>
      </c>
    </row>
    <row r="21" spans="1:4" x14ac:dyDescent="0.25">
      <c r="A21" s="8" t="s">
        <v>83</v>
      </c>
      <c r="B21" s="21">
        <f>'1. Assumptions'!C32</f>
        <v>-40370</v>
      </c>
    </row>
    <row r="22" spans="1:4" x14ac:dyDescent="0.25">
      <c r="A22" s="17" t="s">
        <v>84</v>
      </c>
      <c r="B22" s="18">
        <f>B20-B21</f>
        <v>322012.30072062038</v>
      </c>
    </row>
    <row r="23" spans="1:4" x14ac:dyDescent="0.25">
      <c r="A23" s="8" t="s">
        <v>27</v>
      </c>
      <c r="B23" s="21">
        <f>'1. Assumptions'!C31</f>
        <v>7340</v>
      </c>
    </row>
    <row r="24" spans="1:4" x14ac:dyDescent="0.25">
      <c r="A24" s="28" t="s">
        <v>85</v>
      </c>
      <c r="B24" s="29">
        <f>B22/B23</f>
        <v>43.870885656760272</v>
      </c>
    </row>
    <row r="25" spans="1:4" x14ac:dyDescent="0.25">
      <c r="A25" s="8" t="s">
        <v>86</v>
      </c>
      <c r="B25" s="30">
        <v>11.06</v>
      </c>
      <c r="C25" s="51" t="s">
        <v>91</v>
      </c>
    </row>
    <row r="26" spans="1:4" x14ac:dyDescent="0.25">
      <c r="A26" s="28" t="s">
        <v>87</v>
      </c>
      <c r="B26" s="31">
        <f>IF(B25=0,"-",(B24-B25)/B25)</f>
        <v>2.9666261895804946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zoomScaleNormal="100" workbookViewId="0">
      <selection activeCell="A11" sqref="A11:G11"/>
    </sheetView>
  </sheetViews>
  <sheetFormatPr defaultColWidth="8.7109375" defaultRowHeight="15" x14ac:dyDescent="0.25"/>
  <cols>
    <col min="1" max="1" width="22" customWidth="1"/>
    <col min="2" max="7" width="14" customWidth="1"/>
  </cols>
  <sheetData>
    <row r="1" spans="1:7" ht="27.75" customHeight="1" x14ac:dyDescent="0.25">
      <c r="A1" s="1" t="s">
        <v>88</v>
      </c>
      <c r="B1" s="1"/>
      <c r="C1" s="1"/>
      <c r="D1" s="1"/>
      <c r="E1" s="1"/>
      <c r="F1" s="1"/>
      <c r="G1" s="1"/>
    </row>
    <row r="3" spans="1:7" x14ac:dyDescent="0.25">
      <c r="A3" s="16" t="s">
        <v>89</v>
      </c>
      <c r="B3" s="32">
        <v>0.02</v>
      </c>
      <c r="C3" s="32">
        <v>2.5000000000000001E-2</v>
      </c>
      <c r="D3" s="32">
        <v>0.03</v>
      </c>
      <c r="E3" s="32">
        <v>3.5000000000000003E-2</v>
      </c>
      <c r="F3" s="32">
        <v>0.04</v>
      </c>
    </row>
    <row r="4" spans="1:7" ht="18" customHeight="1" x14ac:dyDescent="0.25">
      <c r="A4" s="32">
        <v>0.08</v>
      </c>
      <c r="B4" s="33">
        <f>IF((0.08-0.02)&lt;=0,"N/A",('3. Projections'!C14/(1+0.08)^1+'3. Projections'!D14/(1+0.08)^2+'3. Projections'!E14/(1+0.08)^3+'3. Projections'!F14/(1+0.08)^4+'3. Projections'!G14/(1+0.08)^5+'3. Projections'!G14*(1+0.02)/(0.08-0.02)/(1+0.08)^5-'1. Assumptions'!C32)/'1. Assumptions'!C31)</f>
        <v>38.360926272910653</v>
      </c>
      <c r="C4" s="33">
        <f>IF((0.08-0.025)&lt;=0,"N/A",('3. Projections'!C14/(1+0.08)^1+'3. Projections'!D14/(1+0.08)^2+'3. Projections'!E14/(1+0.08)^3+'3. Projections'!F14/(1+0.08)^4+'3. Projections'!G14/(1+0.08)^5+'3. Projections'!G14*(1+0.025)/(0.08-0.025)/(1+0.08)^5-'1. Assumptions'!C32)/'1. Assumptions'!C31)</f>
        <v>40.794661970166935</v>
      </c>
      <c r="D4" s="34">
        <f>IF((0.08-0.03)&lt;=0,"N/A",('3. Projections'!C14/(1+0.08)^1+'3. Projections'!D14/(1+0.08)^2+'3. Projections'!E14/(1+0.08)^3+'3. Projections'!F14/(1+0.08)^4+'3. Projections'!G14/(1+0.08)^5+'3. Projections'!G14*(1+0.03)/(0.08-0.03)/(1+0.08)^5-'1. Assumptions'!C32)/'1. Assumptions'!C31)</f>
        <v>43.715144806874505</v>
      </c>
      <c r="E4" s="34">
        <f>IF((0.08-0.035)&lt;=0,"N/A",('3. Projections'!C14/(1+0.08)^1+'3. Projections'!D14/(1+0.08)^2+'3. Projections'!E14/(1+0.08)^3+'3. Projections'!F14/(1+0.08)^4+'3. Projections'!G14/(1+0.08)^5+'3. Projections'!G14*(1+0.035)/(0.08-0.035)/(1+0.08)^5-'1. Assumptions'!C32)/'1. Assumptions'!C31)</f>
        <v>47.284623829517066</v>
      </c>
      <c r="F4" s="34">
        <f>IF((0.08-0.04)&lt;=0,"N/A",('3. Projections'!C14/(1+0.08)^1+'3. Projections'!D14/(1+0.08)^2+'3. Projections'!E14/(1+0.08)^3+'3. Projections'!F14/(1+0.08)^4+'3. Projections'!G14/(1+0.08)^5+'3. Projections'!G14*(1+0.04)/(0.08-0.04)/(1+0.08)^5-'1. Assumptions'!C32)/'1. Assumptions'!C31)</f>
        <v>51.746472607820287</v>
      </c>
    </row>
    <row r="5" spans="1:7" ht="18" customHeight="1" x14ac:dyDescent="0.25">
      <c r="A5" s="32">
        <v>0.09</v>
      </c>
      <c r="B5" s="33">
        <f>IF((0.09-0.02)&lt;=0,"N/A",('3. Projections'!C14/(1+0.09)^1+'3. Projections'!D14/(1+0.09)^2+'3. Projections'!E14/(1+0.09)^3+'3. Projections'!F14/(1+0.09)^4+'3. Projections'!G14/(1+0.09)^5+'3. Projections'!G14*(1+0.02)/(0.09-0.02)/(1+0.09)^5-'1. Assumptions'!C32)/'1. Assumptions'!C31)</f>
        <v>33.567524118898966</v>
      </c>
      <c r="C5" s="33">
        <f>IF((0.09-0.025)&lt;=0,"N/A",('3. Projections'!C14/(1+0.09)^1+'3. Projections'!D14/(1+0.09)^2+'3. Projections'!E14/(1+0.09)^3+'3. Projections'!F14/(1+0.09)^4+'3. Projections'!G14/(1+0.09)^5+'3. Projections'!G14*(1+0.025)/(0.09-0.025)/(1+0.09)^5-'1. Assumptions'!C32)/'1. Assumptions'!C31)</f>
        <v>35.268761769501602</v>
      </c>
      <c r="D5" s="34">
        <f>IF((0.09-0.03)&lt;=0,"N/A",('3. Projections'!C14/(1+0.09)^1+'3. Projections'!D14/(1+0.09)^2+'3. Projections'!E14/(1+0.09)^3+'3. Projections'!F14/(1+0.09)^4+'3. Projections'!G14/(1+0.09)^5+'3. Projections'!G14*(1+0.03)/(0.09-0.03)/(1+0.09)^5-'1. Assumptions'!C32)/'1. Assumptions'!C31)</f>
        <v>37.253539028538015</v>
      </c>
      <c r="E5" s="34">
        <f>IF((0.09-0.035)&lt;=0,"N/A",('3. Projections'!C14/(1+0.09)^1+'3. Projections'!D14/(1+0.09)^2+'3. Projections'!E14/(1+0.09)^3+'3. Projections'!F14/(1+0.09)^4+'3. Projections'!G14/(1+0.09)^5+'3. Projections'!G14*(1+0.035)/(0.09-0.035)/(1+0.09)^5-'1. Assumptions'!C32)/'1. Assumptions'!C31)</f>
        <v>39.599184880126508</v>
      </c>
      <c r="F5" s="34">
        <f>IF((0.09-0.04)&lt;=0,"N/A",('3. Projections'!C14/(1+0.09)^1+'3. Projections'!D14/(1+0.09)^2+'3. Projections'!E14/(1+0.09)^3+'3. Projections'!F14/(1+0.09)^4+'3. Projections'!G14/(1+0.09)^5+'3. Projections'!G14*(1+0.04)/(0.09-0.04)/(1+0.09)^5-'1. Assumptions'!C32)/'1. Assumptions'!C31)</f>
        <v>42.41395990203268</v>
      </c>
    </row>
    <row r="6" spans="1:7" ht="18" customHeight="1" x14ac:dyDescent="0.25">
      <c r="A6" s="32">
        <v>0.1</v>
      </c>
      <c r="B6" s="33">
        <f>IF((0.1-0.02)&lt;=0,"N/A",('3. Projections'!C14/(1+0.1)^1+'3. Projections'!D14/(1+0.1)^2+'3. Projections'!E14/(1+0.1)^3+'3. Projections'!F14/(1+0.1)^4+'3. Projections'!G14/(1+0.1)^5+'3. Projections'!G14*(1+0.02)/(0.1-0.02)/(1+0.1)^5-'1. Assumptions'!C32)/'1. Assumptions'!C31)</f>
        <v>29.975431519685266</v>
      </c>
      <c r="C6" s="33">
        <f>IF((0.1-0.025)&lt;=0,"N/A",('3. Projections'!C14/(1+0.1)^1+'3. Projections'!D14/(1+0.1)^2+'3. Projections'!E14/(1+0.1)^3+'3. Projections'!F14/(1+0.1)^4+'3. Projections'!G14/(1+0.1)^5+'3. Projections'!G14*(1+0.025)/(0.1-0.025)/(1+0.1)^5-'1. Assumptions'!C32)/'1. Assumptions'!C31)</f>
        <v>31.219259674334054</v>
      </c>
      <c r="D6" s="33">
        <f>IF((0.1-0.03)&lt;=0,"N/A",('3. Projections'!C14/(1+0.1)^1+'3. Projections'!D14/(1+0.1)^2+'3. Projections'!E14/(1+0.1)^3+'3. Projections'!F14/(1+0.1)^4+'3. Projections'!G14/(1+0.1)^5+'3. Projections'!G14*(1+0.03)/(0.1-0.03)/(1+0.1)^5-'1. Assumptions'!C32)/'1. Assumptions'!C31)</f>
        <v>32.640777565361262</v>
      </c>
      <c r="E6" s="33">
        <f>IF((0.1-0.035)&lt;=0,"N/A",('3. Projections'!C14/(1+0.1)^1+'3. Projections'!D14/(1+0.1)^2+'3. Projections'!E14/(1+0.1)^3+'3. Projections'!F14/(1+0.1)^4+'3. Projections'!G14/(1+0.1)^5+'3. Projections'!G14*(1+0.035)/(0.1-0.035)/(1+0.1)^5-'1. Assumptions'!C32)/'1. Assumptions'!C31)</f>
        <v>34.280990516546481</v>
      </c>
      <c r="F6" s="33">
        <f>IF((0.1-0.04)&lt;=0,"N/A",('3. Projections'!C14/(1+0.1)^1+'3. Projections'!D14/(1+0.1)^2+'3. Projections'!E14/(1+0.1)^3+'3. Projections'!F14/(1+0.1)^4+'3. Projections'!G14/(1+0.1)^5+'3. Projections'!G14*(1+0.04)/(0.1-0.04)/(1+0.1)^5-'1. Assumptions'!C32)/'1. Assumptions'!C31)</f>
        <v>36.194572292929244</v>
      </c>
    </row>
    <row r="7" spans="1:7" ht="18" customHeight="1" x14ac:dyDescent="0.25">
      <c r="A7" s="32">
        <v>0.11</v>
      </c>
      <c r="B7" s="35">
        <f>IF((0.11-0.02)&lt;=0,"N/A",('3. Projections'!C14/(1+0.11)^1+'3. Projections'!D14/(1+0.11)^2+'3. Projections'!E14/(1+0.11)^3+'3. Projections'!F14/(1+0.11)^4+'3. Projections'!G14/(1+0.11)^5+'3. Projections'!G14*(1+0.02)/(0.11-0.02)/(1+0.11)^5-'1. Assumptions'!C32)/'1. Assumptions'!C31)</f>
        <v>27.184092945815401</v>
      </c>
      <c r="C7" s="35">
        <f>IF((0.11-0.025)&lt;=0,"N/A",('3. Projections'!C14/(1+0.11)^1+'3. Projections'!D14/(1+0.11)^2+'3. Projections'!E14/(1+0.11)^3+'3. Projections'!F14/(1+0.11)^4+'3. Projections'!G14/(1+0.11)^5+'3. Projections'!G14*(1+0.025)/(0.11-0.025)/(1+0.11)^5-'1. Assumptions'!C32)/'1. Assumptions'!C31)</f>
        <v>28.124961651723684</v>
      </c>
      <c r="D7" s="33">
        <f>IF((0.11-0.03)&lt;=0,"N/A",('3. Projections'!C14/(1+0.11)^1+'3. Projections'!D14/(1+0.11)^2+'3. Projections'!E14/(1+0.11)^3+'3. Projections'!F14/(1+0.11)^4+'3. Projections'!G14/(1+0.11)^5+'3. Projections'!G14*(1+0.03)/(0.11-0.03)/(1+0.11)^5-'1. Assumptions'!C32)/'1. Assumptions'!C31)</f>
        <v>29.183438945870503</v>
      </c>
      <c r="E7" s="33">
        <f>IF((0.11-0.035)&lt;=0,"N/A",('3. Projections'!C14/(1+0.11)^1+'3. Projections'!D14/(1+0.11)^2+'3. Projections'!E14/(1+0.11)^3+'3. Projections'!F14/(1+0.11)^4+'3. Projections'!G14/(1+0.11)^5+'3. Projections'!G14*(1+0.035)/(0.11-0.035)/(1+0.11)^5-'1. Assumptions'!C32)/'1. Assumptions'!C31)</f>
        <v>30.383046545903561</v>
      </c>
      <c r="F7" s="33">
        <f>IF((0.11-0.04)&lt;=0,"N/A",('3. Projections'!C14/(1+0.11)^1+'3. Projections'!D14/(1+0.11)^2+'3. Projections'!E14/(1+0.11)^3+'3. Projections'!F14/(1+0.11)^4+'3. Projections'!G14/(1+0.11)^5+'3. Projections'!G14*(1+0.04)/(0.11-0.04)/(1+0.11)^5-'1. Assumptions'!C32)/'1. Assumptions'!C31)</f>
        <v>31.754026660227051</v>
      </c>
    </row>
    <row r="8" spans="1:7" ht="18" customHeight="1" x14ac:dyDescent="0.25">
      <c r="A8" s="32">
        <v>0.12</v>
      </c>
      <c r="B8" s="35">
        <f>IF((0.12-0.02)&lt;=0,"N/A",('3. Projections'!C14/(1+0.12)^1+'3. Projections'!D14/(1+0.12)^2+'3. Projections'!E14/(1+0.12)^3+'3. Projections'!F14/(1+0.12)^4+'3. Projections'!G14/(1+0.12)^5+'3. Projections'!G14*(1+0.02)/(0.12-0.02)/(1+0.12)^5-'1. Assumptions'!C32)/'1. Assumptions'!C31)</f>
        <v>24.953180991682871</v>
      </c>
      <c r="C8" s="35">
        <f>IF((0.12-0.025)&lt;=0,"N/A",('3. Projections'!C14/(1+0.12)^1+'3. Projections'!D14/(1+0.12)^2+'3. Projections'!E14/(1+0.12)^3+'3. Projections'!F14/(1+0.12)^4+'3. Projections'!G14/(1+0.12)^5+'3. Projections'!G14*(1+0.025)/(0.12-0.025)/(1+0.12)^5-'1. Assumptions'!C32)/'1. Assumptions'!C31)</f>
        <v>25.684129321508163</v>
      </c>
      <c r="D8" s="33">
        <f>IF((0.12-0.03)&lt;=0,"N/A",('3. Projections'!C14/(1+0.12)^1+'3. Projections'!D14/(1+0.12)^2+'3. Projections'!E14/(1+0.12)^3+'3. Projections'!F14/(1+0.12)^4+'3. Projections'!G14/(1+0.12)^5+'3. Projections'!G14*(1+0.03)/(0.12-0.03)/(1+0.12)^5-'1. Assumptions'!C32)/'1. Assumptions'!C31)</f>
        <v>26.496294132425163</v>
      </c>
      <c r="E8" s="33">
        <f>IF((0.12-0.035)&lt;=0,"N/A",('3. Projections'!C14/(1+0.12)^1+'3. Projections'!D14/(1+0.12)^2+'3. Projections'!E14/(1+0.12)^3+'3. Projections'!F14/(1+0.12)^4+'3. Projections'!G14/(1+0.12)^5+'3. Projections'!G14*(1+0.035)/(0.12-0.035)/(1+0.12)^5-'1. Assumptions'!C32)/'1. Assumptions'!C31)</f>
        <v>27.404007744626512</v>
      </c>
      <c r="F8" s="33">
        <f>IF((0.12-0.04)&lt;=0,"N/A",('3. Projections'!C14/(1+0.12)^1+'3. Projections'!D14/(1+0.12)^2+'3. Projections'!E14/(1+0.12)^3+'3. Projections'!F14/(1+0.12)^4+'3. Projections'!G14/(1+0.12)^5+'3. Projections'!G14*(1+0.04)/(0.12-0.04)/(1+0.12)^5-'1. Assumptions'!C32)/'1. Assumptions'!C31)</f>
        <v>28.425185558353032</v>
      </c>
    </row>
    <row r="10" spans="1:7" ht="15" customHeight="1" x14ac:dyDescent="0.25"/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1. Assumptions</vt:lpstr>
      <vt:lpstr>2. Historical Financials</vt:lpstr>
      <vt:lpstr>3. Projections</vt:lpstr>
      <vt:lpstr>4. DCF Valuation</vt:lpstr>
      <vt:lpstr>5. 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nathan dcosta</cp:lastModifiedBy>
  <cp:revision>0</cp:revision>
  <dcterms:created xsi:type="dcterms:W3CDTF">2026-06-10T11:01:45Z</dcterms:created>
  <dcterms:modified xsi:type="dcterms:W3CDTF">2026-06-10T12:01:10Z</dcterms:modified>
  <dc:language>en-US</dc:language>
</cp:coreProperties>
</file>